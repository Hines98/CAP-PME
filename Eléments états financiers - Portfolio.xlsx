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hou\Documents\PROJETS\Mirande\"/>
    </mc:Choice>
  </mc:AlternateContent>
  <xr:revisionPtr revIDLastSave="0" documentId="13_ncr:1_{6F18CBF6-B45F-4EFA-96BD-EDD80076DB7D}" xr6:coauthVersionLast="36" xr6:coauthVersionMax="47" xr10:uidLastSave="{00000000-0000-0000-0000-000000000000}"/>
  <bookViews>
    <workbookView xWindow="0" yWindow="0" windowWidth="23040" windowHeight="8172" activeTab="1" xr2:uid="{838938F9-E22D-CF4E-BF1F-E6E2BBD77CED}"/>
  </bookViews>
  <sheets>
    <sheet name="Compte de résultat" sheetId="2" r:id="rId1"/>
    <sheet name="Bilan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  <c r="C9" i="2"/>
  <c r="C10" i="2" s="1"/>
  <c r="C12" i="2" s="1"/>
  <c r="C14" i="2" s="1"/>
  <c r="B9" i="2"/>
  <c r="B10" i="2" s="1"/>
  <c r="B12" i="2" s="1"/>
  <c r="B14" i="2" s="1"/>
  <c r="B16" i="2" l="1"/>
  <c r="C16" i="2"/>
  <c r="C8" i="4" l="1"/>
</calcChain>
</file>

<file path=xl/sharedStrings.xml><?xml version="1.0" encoding="utf-8"?>
<sst xmlns="http://schemas.openxmlformats.org/spreadsheetml/2006/main" count="30" uniqueCount="29">
  <si>
    <t>Libellé</t>
  </si>
  <si>
    <t>Chiffre d’affaires</t>
  </si>
  <si>
    <t>Loyers</t>
  </si>
  <si>
    <t>Autres charges d’exploitation</t>
  </si>
  <si>
    <t>Total charges d’exploitation (hors amort.)</t>
  </si>
  <si>
    <t>Excédent Brut d’Exploitation (EBE)</t>
  </si>
  <si>
    <t>Dotations aux amortissements</t>
  </si>
  <si>
    <t>Résultat d’exploitation</t>
  </si>
  <si>
    <t>Charges financières</t>
  </si>
  <si>
    <t>Résultat courant avant impôt</t>
  </si>
  <si>
    <t>Impôt sur les sociétés (25 %)</t>
  </si>
  <si>
    <t>Résultat net</t>
  </si>
  <si>
    <t>Immobilisations nettes</t>
  </si>
  <si>
    <t>Trésorerie</t>
  </si>
  <si>
    <t>Capital social</t>
  </si>
  <si>
    <t>Dettes financières</t>
  </si>
  <si>
    <t>Report à nouveau</t>
  </si>
  <si>
    <t>Créances clients</t>
  </si>
  <si>
    <t>Stocks</t>
  </si>
  <si>
    <t>Dettes fournisseurs</t>
  </si>
  <si>
    <t>Reprises</t>
  </si>
  <si>
    <t>Coût des ventes</t>
  </si>
  <si>
    <t xml:space="preserve">Charges de personnel </t>
  </si>
  <si>
    <t>Achats consommés</t>
  </si>
  <si>
    <t xml:space="preserve">Autres charges et charges externes </t>
  </si>
  <si>
    <t xml:space="preserve">Personnel externe </t>
  </si>
  <si>
    <t>Résultat</t>
  </si>
  <si>
    <t xml:space="preserve">Réserves légale </t>
  </si>
  <si>
    <t xml:space="preserve">Reserve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</si>
</sst>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3" fontId="4" fillId="0" borderId="1" xfId="0" applyNumberFormat="1" applyFont="1" applyBorder="1"/>
    <xf numFmtId="3" fontId="3" fillId="0" borderId="1" xfId="0" applyNumberFormat="1" applyFont="1" applyBorder="1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3" fontId="1" fillId="0" borderId="0" xfId="0" applyNumberFormat="1" applyFont="1"/>
    <xf numFmtId="0" fontId="5" fillId="0" borderId="0" xfId="0" applyFon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2" fillId="0" borderId="0" xfId="0" applyFont="1" applyFill="1"/>
    <xf numFmtId="3" fontId="0" fillId="0" borderId="0" xfId="0" applyNumberFormat="1" applyFill="1"/>
    <xf numFmtId="3" fontId="2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69BE-FD9C-4846-BB98-60B488C6A96C}">
  <dimension ref="A1:L16"/>
  <sheetViews>
    <sheetView zoomScaleNormal="100" workbookViewId="0">
      <selection activeCell="B9" sqref="B9"/>
    </sheetView>
  </sheetViews>
  <sheetFormatPr baseColWidth="10" defaultRowHeight="15"/>
  <cols>
    <col min="1" max="1" width="38.08984375" customWidth="1"/>
    <col min="2" max="2" width="19.36328125" customWidth="1"/>
    <col min="3" max="3" width="18.36328125" customWidth="1"/>
    <col min="6" max="6" width="12.08984375" bestFit="1" customWidth="1"/>
    <col min="10" max="10" width="12.36328125" customWidth="1"/>
    <col min="11" max="11" width="13.453125" customWidth="1"/>
    <col min="12" max="12" width="13.36328125" customWidth="1"/>
  </cols>
  <sheetData>
    <row r="1" spans="1:12" ht="15.6">
      <c r="A1" s="1" t="s">
        <v>0</v>
      </c>
      <c r="B1" s="1">
        <v>2023</v>
      </c>
      <c r="C1" s="1">
        <v>2024</v>
      </c>
    </row>
    <row r="2" spans="1:12" ht="15.6">
      <c r="A2" s="2" t="s">
        <v>1</v>
      </c>
      <c r="B2" s="3">
        <v>210692005</v>
      </c>
      <c r="C2" s="3">
        <v>300155300</v>
      </c>
    </row>
    <row r="3" spans="1:12" ht="15.6">
      <c r="A3" s="2" t="s">
        <v>23</v>
      </c>
      <c r="B3" s="3">
        <v>3850000</v>
      </c>
      <c r="C3" s="3">
        <v>5745000</v>
      </c>
      <c r="F3" s="11"/>
    </row>
    <row r="4" spans="1:12" ht="15.6">
      <c r="A4" s="2" t="s">
        <v>24</v>
      </c>
      <c r="B4" s="3">
        <v>27700000</v>
      </c>
      <c r="C4" s="3">
        <v>38900000</v>
      </c>
    </row>
    <row r="5" spans="1:12" ht="15.6">
      <c r="A5" s="2" t="s">
        <v>2</v>
      </c>
      <c r="B5" s="3">
        <v>12800000</v>
      </c>
      <c r="C5" s="3">
        <v>18700000</v>
      </c>
    </row>
    <row r="6" spans="1:12" ht="15.6">
      <c r="A6" s="2" t="s">
        <v>22</v>
      </c>
      <c r="B6" s="3">
        <v>48200000</v>
      </c>
      <c r="C6" s="3">
        <v>57500000</v>
      </c>
    </row>
    <row r="7" spans="1:12" ht="15.6">
      <c r="A7" s="2" t="s">
        <v>25</v>
      </c>
      <c r="B7" s="3">
        <v>16950000</v>
      </c>
      <c r="C7" s="3">
        <v>22875000</v>
      </c>
      <c r="F7" s="11"/>
    </row>
    <row r="8" spans="1:12" ht="15.6">
      <c r="A8" s="2" t="s">
        <v>3</v>
      </c>
      <c r="B8" s="3">
        <v>6975000</v>
      </c>
      <c r="C8" s="3">
        <v>16395000</v>
      </c>
      <c r="E8" s="11"/>
      <c r="F8" s="10"/>
    </row>
    <row r="9" spans="1:12" ht="15.6">
      <c r="A9" s="1" t="s">
        <v>4</v>
      </c>
      <c r="B9" s="4">
        <f>+SUM(B3:B8)</f>
        <v>116475000</v>
      </c>
      <c r="C9" s="4">
        <f>+SUM(C3:C8)</f>
        <v>160115000</v>
      </c>
      <c r="J9" s="9"/>
      <c r="K9" s="9"/>
      <c r="L9" s="9"/>
    </row>
    <row r="10" spans="1:12" ht="15.6">
      <c r="A10" s="1" t="s">
        <v>5</v>
      </c>
      <c r="B10" s="4">
        <f>+B2-B9</f>
        <v>94217005</v>
      </c>
      <c r="C10" s="4">
        <f>+C2-C9</f>
        <v>140040300</v>
      </c>
    </row>
    <row r="11" spans="1:12" ht="15.6">
      <c r="A11" s="2" t="s">
        <v>6</v>
      </c>
      <c r="B11" s="3">
        <v>11518355</v>
      </c>
      <c r="C11" s="3">
        <v>18637595</v>
      </c>
    </row>
    <row r="12" spans="1:12" ht="15.6">
      <c r="A12" s="1" t="s">
        <v>7</v>
      </c>
      <c r="B12" s="4">
        <f>+B10-B11</f>
        <v>82698650</v>
      </c>
      <c r="C12" s="4">
        <f>C10-C11</f>
        <v>121402705</v>
      </c>
    </row>
    <row r="13" spans="1:12" ht="15.6">
      <c r="A13" s="2" t="s">
        <v>8</v>
      </c>
      <c r="B13" s="3">
        <v>3700000</v>
      </c>
      <c r="C13" s="3">
        <v>2950000</v>
      </c>
    </row>
    <row r="14" spans="1:12" ht="15.6">
      <c r="A14" s="1" t="s">
        <v>9</v>
      </c>
      <c r="B14" s="4">
        <f>+B12-B13</f>
        <v>78998650</v>
      </c>
      <c r="C14" s="4">
        <f>C12-C13</f>
        <v>118452705</v>
      </c>
    </row>
    <row r="15" spans="1:12" ht="15.6">
      <c r="A15" s="2" t="s">
        <v>10</v>
      </c>
      <c r="B15" s="3">
        <v>19749663</v>
      </c>
      <c r="C15" s="3">
        <v>29613176</v>
      </c>
    </row>
    <row r="16" spans="1:12" ht="15.6">
      <c r="A16" s="1" t="s">
        <v>11</v>
      </c>
      <c r="B16" s="4">
        <f>+B14-B15</f>
        <v>59248987</v>
      </c>
      <c r="C16" s="4">
        <f>C14-C15</f>
        <v>88839529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B3B0-F00D-4397-AA13-B1689225533A}">
  <dimension ref="A1:I17"/>
  <sheetViews>
    <sheetView tabSelected="1" workbookViewId="0">
      <selection activeCell="E11" sqref="E11"/>
    </sheetView>
  </sheetViews>
  <sheetFormatPr baseColWidth="10" defaultRowHeight="15"/>
  <cols>
    <col min="1" max="1" width="24.08984375" customWidth="1"/>
    <col min="2" max="2" width="14.08984375" style="10" bestFit="1" customWidth="1"/>
    <col min="7" max="7" width="13.08984375" bestFit="1" customWidth="1"/>
    <col min="9" max="9" width="12.08984375" bestFit="1" customWidth="1"/>
  </cols>
  <sheetData>
    <row r="1" spans="1:9" ht="15.6">
      <c r="A1" s="5" t="s">
        <v>0</v>
      </c>
      <c r="B1" s="8">
        <v>2023</v>
      </c>
      <c r="C1">
        <v>2024</v>
      </c>
    </row>
    <row r="2" spans="1:9">
      <c r="A2" s="6" t="s">
        <v>12</v>
      </c>
      <c r="B2" s="11">
        <v>20481645</v>
      </c>
      <c r="C2" s="7">
        <v>89444045</v>
      </c>
      <c r="E2" s="11"/>
    </row>
    <row r="3" spans="1:9">
      <c r="A3" s="6" t="s">
        <v>13</v>
      </c>
      <c r="B3" s="11">
        <v>116312042</v>
      </c>
      <c r="C3" s="7">
        <v>126367172</v>
      </c>
    </row>
    <row r="4" spans="1:9">
      <c r="A4" s="6" t="s">
        <v>14</v>
      </c>
      <c r="B4" s="11">
        <v>100000000</v>
      </c>
      <c r="C4" s="7">
        <v>100000000</v>
      </c>
    </row>
    <row r="5" spans="1:9">
      <c r="A5" s="6" t="s">
        <v>27</v>
      </c>
      <c r="B5" s="11">
        <v>10000000</v>
      </c>
      <c r="C5" s="7">
        <v>10000000</v>
      </c>
      <c r="E5" s="11"/>
      <c r="G5" s="10"/>
      <c r="H5" s="11"/>
    </row>
    <row r="6" spans="1:9">
      <c r="A6" s="6" t="s">
        <v>28</v>
      </c>
      <c r="B6" s="11"/>
      <c r="C6" s="7">
        <v>26666545</v>
      </c>
      <c r="E6" s="11"/>
      <c r="F6" s="11"/>
      <c r="G6" s="10"/>
    </row>
    <row r="7" spans="1:9">
      <c r="A7" s="6" t="s">
        <v>16</v>
      </c>
      <c r="B7" s="11">
        <v>11894700</v>
      </c>
      <c r="C7" s="7">
        <f>B7+32592443</f>
        <v>44487143</v>
      </c>
      <c r="E7" s="11"/>
      <c r="F7" s="11"/>
      <c r="G7" s="12"/>
      <c r="H7" s="11"/>
      <c r="I7" s="10"/>
    </row>
    <row r="8" spans="1:9">
      <c r="A8" s="6" t="s">
        <v>26</v>
      </c>
      <c r="B8" s="11">
        <v>59248987</v>
      </c>
      <c r="C8" s="11">
        <f>'Compte de résultat'!C16</f>
        <v>88839529</v>
      </c>
      <c r="H8" s="11"/>
      <c r="I8" s="10"/>
    </row>
    <row r="9" spans="1:9">
      <c r="A9" s="6" t="s">
        <v>15</v>
      </c>
      <c r="B9" s="11">
        <v>1350000</v>
      </c>
      <c r="C9" s="7">
        <v>2800000</v>
      </c>
    </row>
    <row r="10" spans="1:9">
      <c r="A10" s="6" t="s">
        <v>17</v>
      </c>
      <c r="B10" s="11">
        <v>47800000</v>
      </c>
      <c r="C10" s="7">
        <v>58757000</v>
      </c>
      <c r="F10" s="11"/>
      <c r="G10" s="11"/>
    </row>
    <row r="11" spans="1:9" s="16" customFormat="1">
      <c r="A11" s="13" t="s">
        <v>18</v>
      </c>
      <c r="B11" s="14">
        <v>0</v>
      </c>
      <c r="C11" s="15">
        <v>0</v>
      </c>
    </row>
    <row r="12" spans="1:9" s="16" customFormat="1">
      <c r="A12" s="13" t="s">
        <v>19</v>
      </c>
      <c r="B12" s="14">
        <v>2100000</v>
      </c>
      <c r="C12" s="15">
        <v>1775000</v>
      </c>
    </row>
    <row r="13" spans="1:9" s="16" customFormat="1">
      <c r="A13" s="13" t="s">
        <v>20</v>
      </c>
      <c r="B13" s="14">
        <v>0</v>
      </c>
      <c r="C13" s="15">
        <v>0</v>
      </c>
    </row>
    <row r="14" spans="1:9" s="16" customFormat="1">
      <c r="A14" s="13" t="s">
        <v>21</v>
      </c>
      <c r="B14" s="14">
        <v>0</v>
      </c>
      <c r="C14" s="15">
        <v>0</v>
      </c>
    </row>
    <row r="15" spans="1:9">
      <c r="B15" s="11"/>
    </row>
    <row r="16" spans="1:9">
      <c r="B16" s="11"/>
    </row>
    <row r="17" spans="2:2">
      <c r="B17" s="1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9645ce-24f7-4fa7-847c-11dc6037a35a}" enabled="1" method="Standard" siteId="{b9e9ed43-edf4-4755-925b-76f18f50d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Compte de résultat</vt:lpstr>
      <vt:lpstr>Bilan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Mirande AKPONNA</dc:creator>
  <cp:lastModifiedBy>inhou</cp:lastModifiedBy>
  <dcterms:created xsi:type="dcterms:W3CDTF">2026-01-30T08:08:14Z</dcterms:created>
  <dcterms:modified xsi:type="dcterms:W3CDTF">2026-02-23T13:06:26Z</dcterms:modified>
</cp:coreProperties>
</file>